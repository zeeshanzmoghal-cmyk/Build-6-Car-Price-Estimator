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lder\Excel Projs\Excel Proj\"/>
    </mc:Choice>
  </mc:AlternateContent>
  <xr:revisionPtr revIDLastSave="0" documentId="13_ncr:1_{4B6C137B-3532-4797-A964-FCE5C943A03F}" xr6:coauthVersionLast="47" xr6:coauthVersionMax="47" xr10:uidLastSave="{00000000-0000-0000-0000-000000000000}"/>
  <bookViews>
    <workbookView xWindow="-108" yWindow="-108" windowWidth="23256" windowHeight="12456" xr2:uid="{38158642-150B-4160-A817-E6FC81CB15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  <c r="B4" i="1" a="1"/>
  <c r="B4" i="1" s="1"/>
  <c r="E4" i="1" s="1" a="1"/>
  <c r="E4" i="1" s="1"/>
  <c r="A7" i="1"/>
  <c r="J4" i="1"/>
  <c r="H4" i="1"/>
  <c r="A4" i="1" a="1"/>
  <c r="A4" i="1" s="1"/>
  <c r="L4" i="1" s="1"/>
  <c r="F4" i="1" l="1" a="1"/>
  <c r="F4" i="1" s="1"/>
  <c r="D4" i="1" s="1" a="1"/>
  <c r="D4" i="1" s="1"/>
  <c r="H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<sst xmlns="http://schemas.openxmlformats.org/spreadsheetml/2006/main" count="14" uniqueCount="14">
  <si>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Year</t>
  </si>
  <si>
    <t>Model</t>
  </si>
  <si>
    <t>Trim</t>
  </si>
  <si>
    <t># of Added Parts</t>
  </si>
  <si>
    <t># of Added Tech</t>
  </si>
  <si>
    <t>Estimate:</t>
  </si>
  <si>
    <t>Note: This sheet will not tell an exact final price, it just states a rough estimate that you should keep in mind when searching for cars to purchase</t>
  </si>
  <si>
    <t>Ownership Length(yr)</t>
  </si>
  <si>
    <t>Modification Status(T/F)</t>
  </si>
  <si>
    <t>Mileage</t>
  </si>
  <si>
    <t>Crash count</t>
  </si>
  <si>
    <t>Car Price Calculator ( Toyota, Max up to 2035 models, in CAD )</t>
  </si>
  <si>
    <t>LE</t>
  </si>
  <si>
    <t>GR86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</si>
</sst>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3"/>
      <color theme="3"/>
      <name val="Aptos Narrow"/>
      <family val="2"/>
      <scheme val="minor"/>
    </font>
    <font>
      <b/>
      <sz val="13"/>
      <color theme="6" tint="-0.24994659260841701"/>
      <name val="Aptos Narrow"/>
      <family val="2"/>
      <scheme val="minor"/>
    </font>
    <font>
      <sz val="13"/>
      <color theme="6" tint="-0.2499465926084170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theme="6" tint="0.39994506668294322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6" fillId="4" borderId="2" applyNumberFormat="0" applyFont="0" applyAlignment="0" applyProtection="0"/>
  </cellStyleXfs>
  <cellXfs count="16">
    <xf numFmtId="0" fontId="0" fillId="0" borderId="0" xfId="0"/>
    <xf numFmtId="0" fontId="5" fillId="0" borderId="3" xfId="0" applyFont="1" applyBorder="1"/>
    <xf numFmtId="0" fontId="0" fillId="0" borderId="3" xfId="0" applyBorder="1"/>
    <xf numFmtId="164" fontId="0" fillId="0" borderId="3" xfId="0" applyNumberFormat="1" applyBorder="1"/>
    <xf numFmtId="164" fontId="0" fillId="0" borderId="3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4" borderId="3" xfId="3" applyFont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</cellXfs>
  <cellStyles count="4">
    <cellStyle name="Heading 2" xfId="2" builtinId="17"/>
    <cellStyle name="Normal" xfId="0" builtinId="0"/>
    <cellStyle name="Note" xfId="3" builtinId="1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99AA7-9926-404C-B9FE-F887286E2018}">
  <dimension ref="A1:M7"/>
  <sheetViews>
    <sheetView tabSelected="1" workbookViewId="0">
      <selection activeCell="A4" sqref="A4"/>
    </sheetView>
  </sheetViews>
  <sheetFormatPr defaultRowHeight="14.4" x14ac:dyDescent="0.3"/>
  <cols>
    <col min="1" max="3" width="10.109375" bestFit="1" customWidth="1"/>
    <col min="4" max="5" width="10.77734375" bestFit="1" customWidth="1"/>
  </cols>
  <sheetData>
    <row r="1" spans="1:13" ht="23.4" x14ac:dyDescent="0.45">
      <c r="A1" s="11" t="s">
        <v>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" t="s">
        <v>0</v>
      </c>
      <c r="B2" s="1" t="s">
        <v>1</v>
      </c>
      <c r="C2" s="1" t="s">
        <v>2</v>
      </c>
      <c r="D2" s="1" t="s">
        <v>9</v>
      </c>
      <c r="E2" s="1" t="s">
        <v>10</v>
      </c>
      <c r="F2" s="12" t="s">
        <v>7</v>
      </c>
      <c r="G2" s="12"/>
      <c r="H2" s="13" t="s">
        <v>3</v>
      </c>
      <c r="I2" s="13"/>
      <c r="J2" s="13" t="s">
        <v>4</v>
      </c>
      <c r="K2" s="13"/>
      <c r="L2" s="5" t="s">
        <v>8</v>
      </c>
      <c r="M2" s="5"/>
    </row>
    <row r="3" spans="1:13" x14ac:dyDescent="0.3">
      <c r="A3" s="2">
        <v>2022</v>
      </c>
      <c r="B3" s="2" t="s">
        <v>13</v>
      </c>
      <c r="C3" s="2" t="s">
        <v>12</v>
      </c>
      <c r="D3" s="2">
        <v>12345</v>
      </c>
      <c r="E3" s="2">
        <v>1</v>
      </c>
      <c r="F3" s="6">
        <v>4</v>
      </c>
      <c r="G3" s="6"/>
      <c r="H3" s="6">
        <v>1</v>
      </c>
      <c r="I3" s="6"/>
      <c r="J3" s="6">
        <v>2</v>
      </c>
      <c r="K3" s="6"/>
      <c r="L3" s="6" t="b">
        <v>1</v>
      </c>
      <c r="M3" s="6"/>
    </row>
    <row r="4" spans="1:13" x14ac:dyDescent="0.3">
      <c r="A4" s="3" cm="1">
        <f t="array" ref="A4">_xlfn.IFS(A3&gt;2035,"ERROR", A3&gt;=2026,23000, A3&gt;=2020,20000, A3&gt;=2015,18000, A3&gt;=2010,10000, A3&gt;=2005,5000, A3&gt;=2000,2500, A3&gt;=1950,1500, TRUE, "ERROR")</f>
        <v>20000</v>
      </c>
      <c r="B4" s="3" cm="1">
        <f t="array" ref="B4">_xlfn.IFS(A3&gt;3035, "ERROR", AND(A3&gt;=2026,B3="GR86"), 9000, AND(A3&gt;=2020,B3="GR86"), 6000, AND(A3&gt;=2015,B3="GR86"), 4000, AND(A3&gt;=2010,B3="GR86"), "ERROR", AND(A3&gt;=2026,B3="GR Corolla"), 16000, AND(A3&gt;=2020,B3="GR Corolla"), 12000, AND(A3&gt;=2015,B3="GR Corolla"), "ERROR", AND(A3&gt;=2026,B3="GR Supra"), 35000, AND(A3&gt;=2020,B3="GR Supra"), 19000, AND(A3&gt;=2015,B3="GR Supra"), "ERROR", AND(A3&gt;=2026,B3="Prius"), 5550, AND(A3&gt;=2020,B3="Prius"), 1000, AND(A3&gt;=2015,B3="Prius"), -4500, AND(A3&gt;=2010,B3="Prius"), -5000, AND(A3&gt;=2005,B3="Prius"), 0, AND(A3&gt;=2000,B3="Prius"), -1000, AND(A3&lt;2000,B3="Prius"), "ERROR", AND(A3&gt;=2026,B3="Corolla"), -500, AND(A3&gt;=2020,B3="Corolla"), 0, AND(A3&gt;=2015,B3="Corolla"), -5500, AND(A3&gt;=2010,B3="Corolla"), -5000, AND(A3&gt;=2005,B3="Corolla"), -2000, AND(A3&gt;=2000,B3="Corolla"), -1000, AND(A3&lt;2000,B3="Corolla"), "Too old", AND(A3&gt;=2026,B3="Camry"), 15000, AND(A3&gt;=2020,B3="Camry"), 3600, AND(A3&gt;=2015,B3="Camry"), -2000, AND(A3&gt;=2010,B3="Camry"), 500, AND(A3&gt;=2005,B3="Camry"), -2500, AND(A3&gt;=2000,B3="Camry"), -1000, AND(A3&lt;2000,B3="Camry"), "Too old", AND(A3&gt;=2026,B3="Crown"), 32000, AND(A3&gt;=2023,B3="Crown"), 25590, AND(A3&lt;2023,B3="Crown"), "Error", AND(A3&gt;=2026,B3="Crown Signia"), 37000, AND(A3&gt;=2024,B3="Crown Signia"), 23500, AND(A3&lt;2024,B3="Crown Signia"), "Error", AND(A3&gt;=2026,B3="bZ"), 25000, AND(A3&gt;=2021,B3="bZ"), 12000, AND(A3&lt;2021,B3="bZ"), "Error", AND(A3&gt;=2026,B3="Grand Highlander"), 20000, AND(A3&gt;=2024,B3="Grand Highlander"), 23000, AND(A3&lt;2024,B3="Grand Highlander"), “ERROR”, AND(A3&gt;=2026,B3="Corolla Cross"), 16000, AND(A3&gt;=2022,B3="Corolla Cross"), 5000, AND(A3&lt;2022,B3="Corolla Cross"), "Error", AND(A3&gt;=2026,B3="CHR"), 25300, AND(A3&gt;=2022,B3="CHR"), -2000, AND(A3&lt;2022,B3="CHR"), "Error", AND(A3&gt;=2026,B3="RAV4"), 14500, AND(A3&gt;=2020,B3="RAV4"), 9500, AND(A3&gt;=2015,B3="RAV4"), -1500, AND(A3&gt;=2010,B3="RAV4"), -400, AND(A3&gt;=2005,B3="RAV4"), -1100, AND(A3&gt;=2000,B3="RAV4"), -1000, AND(A3&lt;2000,B3="RAV4"), "Too old", AND(A3&gt;=2026,B3="Highlander"), 28285, AND(A3&gt;=2020,B3="Highlander"), 15000, AND(A3&gt;=2015,B3="Highlander"), 3000, AND(A3&gt;=2010,B3="Highlander"), -2000, AND(A3&gt;=2005,B3="Highlander"), -1500, AND(A3&gt;=2000,B3="Highlander"), -1000, AND(A3&lt;2000,B3="Highlander"), "Too old", AND(A3&gt;=2026,B3="Sienna"), 32000, AND(A3&gt;=2020,B3="Sienna"), 14000, AND(A3&gt;=2015,B3="Sienna"), 0, AND(A3&gt;=2010,B3="Sienna"), -5000, AND(A3&gt;=2005,B3="Sienna"), -2500, AND(A3&gt;=2000,B3="Sienna"), -1500, AND(A3&lt;2000,B3="Sienna"), "Too old", AND(A3&gt;=2026,B3="4runner"), 32270, AND(A3&gt;=2020,B3="4runner"), 24500, AND(A3&gt;=2015,B3="4runner"), 10000, AND(A3&gt;=2010,B3="4runner"), 5000, AND(A3&gt;=2005,B3="4runner"), 1000, AND(A3&gt;=2000,B3="4runner"), 1500, AND(A3&lt;2000,B3="4runner"), "Too old", AND(A3&gt;=2026,B3="Land Cruiser"), 47000, AND(A3&gt;=2020,B3="Land Cruiser"), 44000, AND(A3&gt;=2015,B3="Land Cruiser"), 12000, AND(A3&gt;=2010,B3="Land Cruiser"), 7000, AND(A3&gt;=2005,B3="Land Cruiser"), 5000, AND(A3&gt;=2000,B3="Land Cruiser"), 6500, AND(A3&lt;2000,B3="Land Cruiser"), "Too old",AND(A3&gt;=2026,B3="Sequoia"), 41825, AND(A3&gt;=2020,B3="Sequoia"), 18000, AND(A3&gt;=2015,B3="Sequoia"), -3000, AND(A3&gt;=2010,B3="Sequoia"), -500, AND(A3&gt;=2005,B3="Sequoia"), -2000, AND(A3&gt;=2000,B3="Sequoia"), 7500, AND(A3&lt;2000,B3="Sequoia"), "ERROR",AND(A3&gt;=2026,B3="Tacoma"), 10900, AND(A3&gt;=2020,B3="Tacoma"), 15000, AND(A3&gt;=2015,B3="Tacoma"), -3000, AND(A3&gt;=2010,B3="Tacoma"), 0, AND(A3&gt;=2005,B3="Tacoma"), 1000, AND(A3&gt;=2000,B3="Tacoma"), 1500, AND(A3&lt;2000,B3="Tacoma"), "Too old",AND(A3&gt;=2026,B3="Tundra"), 31440, AND(A3&gt;=2020,B3="Tundra"), 15000, AND(A3&gt;=2015,B3="Tundra"), 2000, AND(A3&gt;=2010,B3="Tundra"), 0, AND(A3&gt;=2005,B3="Tundra"), -1000, AND(A3&gt;=2000,B3="Tundra"), 1500, AND(A3&lt;2000,B3="Tundra"), "Too old", AND(A3&gt;=2026,B3="Sequoia"), 85690, AND(A3&gt;=2020,B3="Sequoia"), 63290, AND(A3&gt;=2015,B3="Sequoia"), 54535, AND(A3&gt;=2010,B3="Sequoia"), 10000, AND(A3&gt;=2005,B3="Sequoia"), 3850, AND(A3&gt;=2000,B3="Sequoia"), 3000, AND(A3&lt;2000,B3="Sequoia"), "Too old",  TRUE, "ERROR")</f>
        <v>6000</v>
      </c>
      <c r="C4" s="3" cm="1">
        <f t="array" ref="C4">_xlfn.IFS(B3="Land Cruiser", 0, AND(C3="LE",B3="GR86"), 1500, AND(C3="Limited / Platinum",B3="GR86"), 5000, AND(C3="LE",B3="GR Corolla"), 1500, AND(C3="Limited / Platinum",B3="GR Corolla"), 5000, AND(C3="LE",B3="Corolla"), 1500, AND(C3="SE",B3="Corolla"), 3500, AND(C3="XSE",B3="Corolla"), 5000, AND(C3="LE",B3="Camry"), 1500, AND(C3="SE",B3="Camry"), 3500, AND(C3="XSE",B3="Camry"), 5000, AND(C3="Nightshade",B3="Camry"), 6000, AND(C3="XLE",B3="Camry"), 6500, AND(C3="LE",B3="Prius"), 1500, AND(C3="Limited / Platinum",B3="Prius"), 6500, AND(C3="Nightshade",B3="Prius"), 3500, AND(C3="XLE",B3="Prius"), 6000, B3="GR Supra", 0, AND(C3="Limited / Platinum", B3="bZ"), 7500, AND(C3="Nightshade",B3="bZ"), 4000, AND(C3="XLE",B3="bZ"), 2000, AND(C3="LE",B3="Corolla Cross"), 2000, AND(C3="SE",B3="Corolla Cross"), 2000, AND(C3="XSE",B3="Corolla Cross"), 5500, AND(C3="XLE",B3="Corolla Cross"), 6000, AND(C3="LE",B3="Highlander"), 2000, AND(C3="XLE",B3="Highlander"), 4000, AND(C3="XSE",B3="Highlander"), 5500, AND(C3="Limited / Platinum",B3="Highlander"), 6000, AND(C3="LE",B3="Sienna"), 5000, AND(C3="XLE",B3="Sienna"), 8500, AND(C3="XSE",B3="Sienna"), 1000, AND(C3="Limited / Platinum",B3="Sienna"), 13000, AND(C3="SE",B3="CHR"), 2000, AND(C3="XSE",B3="CHR"), 4000, AND(C3="Limited / Platinum", B3="4runner"), 8500, AND(C3="TRD / TRD Pro", B3="4runner"), 16000, AND(C3="Limited / Platinum", B3="Tacoma"), 8500, AND(C3="TRD / TRD Pro", B3="Tacoma"), 16000, AND(C3="Limited / Platinum", B3="Tundra"), 8500, AND(C3="TRD / TRD Pro", B3="Tundra"), 16000, AND(C3="Limited / Platinum", B3="Sequoia"), 8500, AND(C3="TRD / TRD Pro", B3="Sequoia"), 16000, AND(C3="LE",B3="Grand Highlander"), 2000, AND(C3="XlE",B3="Grand Highlander"), 6000, AND(C3="Nightshade",B3="Grand Highlander"), 4000, AND(C3="Limited / Platinum",B3="Grand Highlander"), 8000, TRUE, "ERROR")</f>
        <v>1500</v>
      </c>
      <c r="D4" s="3" cm="1">
        <f t="array" ref="D4">+_xlfn.IFS(D3=0, 0, D3&lt;=5000,-((A4+B4+C4+E4+F4+H4+J4+L4)*0.05),D3&lt;=20000,-((A4+B4+C4+E4+F4+H4+J4+L4)*0.15),D3&lt;=60000,-((A4+B4+C4+E4+F4+H4+J4+L4)*0.25),D3&lt;=0,-((A4+B4+C4+E4+F4+H4+J4+L4)*0.625),D3&lt;=150000,-((A4+B4+C4+E4+F4+H4+J4+L4)*0.5),D3&gt;=150000,"Too High",TRUE,"ERROR")</f>
        <v>-1672.5</v>
      </c>
      <c r="E4" s="3" cm="1">
        <f t="array" ref="E4">_xlfn.IFS(E3&gt;=5, "Too many", E3 = 0, 0, E3 = 1, -((A4+B4) * 0.1), E3 = 2, -((A4+B4) * 0.25), E3 = 3,- ((A4+B4) * 0.35), E3=4, -((A4+B4) * 0.5), TRUE, "ERROR")</f>
        <v>-2600</v>
      </c>
      <c r="F4" s="4" cm="1">
        <f t="array" ref="F4">_xlfn.IFS(F3&gt;10, "Too old", F3=0, 0, F3=1, -(A4+B4)*0.25, F3=2, -(A4+B4)*0.35, F3=3, -(A4+B4)*0.42, F3=4, -(A4+B4)*0.5, F3&gt;=5, -(A4+B4)*0.75, TRUE, "ERROR")</f>
        <v>-13000</v>
      </c>
      <c r="G4" s="4"/>
      <c r="H4" s="4">
        <f>H3*2000</f>
        <v>2000</v>
      </c>
      <c r="I4" s="4"/>
      <c r="J4" s="4">
        <f>J3*1875</f>
        <v>3750</v>
      </c>
      <c r="K4" s="4"/>
      <c r="L4" s="4">
        <f>IF(L3=TRUE,-(A4+B4)*0.25, 0)</f>
        <v>-6500</v>
      </c>
      <c r="M4" s="4"/>
    </row>
    <row r="5" spans="1:13" ht="17.399999999999999" x14ac:dyDescent="0.35">
      <c r="A5" s="7"/>
      <c r="B5" s="8"/>
      <c r="C5" s="8"/>
      <c r="D5" s="8"/>
      <c r="E5" s="9"/>
      <c r="F5" s="14" t="s">
        <v>5</v>
      </c>
      <c r="G5" s="15"/>
      <c r="H5" s="4">
        <f>A4+B4+C4+D4+E4+F4+H4+J4+L4</f>
        <v>9477.5</v>
      </c>
      <c r="I5" s="6"/>
      <c r="J5" s="7"/>
      <c r="K5" s="8"/>
      <c r="L5" s="8"/>
      <c r="M5" s="9"/>
    </row>
    <row r="6" spans="1:13" x14ac:dyDescent="0.3">
      <c r="A6" s="10" t="s">
        <v>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x14ac:dyDescent="0.3">
      <c r="A7" s="7" t="str">
        <f>IF(B3="Land Cruiser", "The chosen vehicle's trims are currently not available on this form", "")</f>
        <v/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</sheetData>
  <mergeCells count="19">
    <mergeCell ref="A7:M7"/>
    <mergeCell ref="A6:M6"/>
    <mergeCell ref="A1:M1"/>
    <mergeCell ref="J5:M5"/>
    <mergeCell ref="A5:E5"/>
    <mergeCell ref="F2:G2"/>
    <mergeCell ref="F3:G3"/>
    <mergeCell ref="F4:G4"/>
    <mergeCell ref="H2:I2"/>
    <mergeCell ref="H4:I4"/>
    <mergeCell ref="F5:G5"/>
    <mergeCell ref="H5:I5"/>
    <mergeCell ref="J2:K2"/>
    <mergeCell ref="J3:K3"/>
    <mergeCell ref="J4:K4"/>
    <mergeCell ref="L2:M2"/>
    <mergeCell ref="L3:M3"/>
    <mergeCell ref="L4:M4"/>
    <mergeCell ref="H3:I3"/>
  </mergeCells>
  <dataValidations count="3">
    <dataValidation type="list" allowBlank="1" showInputMessage="1" showErrorMessage="1" sqref="L3:M3" xr:uid="{08BCB86B-072F-4AE9-988C-4B23D7533E40}">
      <formula1>"TRUE,FALSE"</formula1>
    </dataValidation>
    <dataValidation type="list" allowBlank="1" showInputMessage="1" showErrorMessage="1" sqref="B3" xr:uid="{515C894E-2211-4AA5-8BDD-04802ECBA1BD}">
      <formula1>"GR86, GR Corolla, Corolla, Camry, Prius, bZ, GR Supra, Grand Highlander, Highlander, Corolla Cross, Sienna, 4runner, Land Cruiser, CHR, Tacoma, Tundra, Sequoia"</formula1>
    </dataValidation>
    <dataValidation type="list" allowBlank="1" showInputMessage="1" showErrorMessage="1" sqref="C3" xr:uid="{00065DF4-6E5B-49FE-89C7-A3A5C6273AB8}">
      <formula1>"LE, XLE, SE, XSE, Nightshade, Limited / Platinum, TRD / TRD Pro"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Z. Moghal</dc:creator>
  <cp:lastModifiedBy>Zeeshan Z. Moghal</cp:lastModifiedBy>
  <dcterms:created xsi:type="dcterms:W3CDTF">2026-03-16T17:17:10Z</dcterms:created>
  <dcterms:modified xsi:type="dcterms:W3CDTF">2026-07-03T20:05:34Z</dcterms:modified>
</cp:coreProperties>
</file>